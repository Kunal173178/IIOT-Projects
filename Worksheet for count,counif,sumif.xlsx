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xen\Downloads\"/>
    </mc:Choice>
  </mc:AlternateContent>
  <xr:revisionPtr revIDLastSave="0" documentId="13_ncr:1_{F3CB22DF-042B-43E2-B209-973ED6F9BC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 Data" sheetId="1" r:id="rId1"/>
    <sheet name="Practice Questions" sheetId="2" r:id="rId2"/>
  </sheets>
  <definedNames>
    <definedName name="_xlnm._FilterDatabase" localSheetId="0" hidden="1">'Employee Data'!$A$1:$H$31</definedName>
    <definedName name="_xlnm._FilterDatabase" localSheetId="1" hidden="1">'Practice Questions'!$A$1:$A$21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" l="1" a="1"/>
  <c r="V2" i="1" s="1"/>
  <c r="U2" i="1"/>
  <c r="T2" i="1"/>
  <c r="S2" i="1"/>
  <c r="R2" i="1"/>
  <c r="Q2" i="1"/>
  <c r="P2" i="1"/>
  <c r="O2" i="1"/>
  <c r="N2" i="1"/>
  <c r="M2" i="1"/>
  <c r="L2" i="1"/>
  <c r="K2" i="1"/>
  <c r="J2" i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<sst xmlns="http://schemas.openxmlformats.org/spreadsheetml/2006/main" count="223" uniqueCount="113">
  <si>
    <t>Employee ID</t>
  </si>
  <si>
    <t>Name</t>
  </si>
  <si>
    <t>Department</t>
  </si>
  <si>
    <t>Gender</t>
  </si>
  <si>
    <t>City</t>
  </si>
  <si>
    <t>Salary</t>
  </si>
  <si>
    <t>Experience (Years)</t>
  </si>
  <si>
    <t>Status</t>
  </si>
  <si>
    <t>E001</t>
  </si>
  <si>
    <t>Rahul Sharma</t>
  </si>
  <si>
    <t>IT</t>
  </si>
  <si>
    <t>Male</t>
  </si>
  <si>
    <t>Delhi</t>
  </si>
  <si>
    <t>Active</t>
  </si>
  <si>
    <t>E002</t>
  </si>
  <si>
    <t>Priya Verma</t>
  </si>
  <si>
    <t>HR</t>
  </si>
  <si>
    <t>Female</t>
  </si>
  <si>
    <t>Lucknow</t>
  </si>
  <si>
    <t>E003</t>
  </si>
  <si>
    <t>Aman Singh</t>
  </si>
  <si>
    <t>Sales</t>
  </si>
  <si>
    <t>Noida</t>
  </si>
  <si>
    <t>Inactive</t>
  </si>
  <si>
    <t>E004</t>
  </si>
  <si>
    <t>Neha Gupta</t>
  </si>
  <si>
    <t>Finance</t>
  </si>
  <si>
    <t>E005</t>
  </si>
  <si>
    <t>Rohit Kumar</t>
  </si>
  <si>
    <t>Jaipur</t>
  </si>
  <si>
    <t>E006</t>
  </si>
  <si>
    <t>Pooja Yadav</t>
  </si>
  <si>
    <t>Moradabad</t>
  </si>
  <si>
    <t>E007</t>
  </si>
  <si>
    <t>Vikas Mishra</t>
  </si>
  <si>
    <t>Agra</t>
  </si>
  <si>
    <t>E008</t>
  </si>
  <si>
    <t>Anjali Singh</t>
  </si>
  <si>
    <t>E009</t>
  </si>
  <si>
    <t>Karan Patel</t>
  </si>
  <si>
    <t>E010</t>
  </si>
  <si>
    <t>Sneha Gupta</t>
  </si>
  <si>
    <t>E011</t>
  </si>
  <si>
    <t>Arjun Verma</t>
  </si>
  <si>
    <t>E012</t>
  </si>
  <si>
    <t>Kavita Sharma</t>
  </si>
  <si>
    <t>E013</t>
  </si>
  <si>
    <t>Mohit Kumar</t>
  </si>
  <si>
    <t>E014</t>
  </si>
  <si>
    <t>Riya Singh</t>
  </si>
  <si>
    <t>E015</t>
  </si>
  <si>
    <t>Nitin Yadav</t>
  </si>
  <si>
    <t>E016</t>
  </si>
  <si>
    <t>Simran Kaur</t>
  </si>
  <si>
    <t>E017</t>
  </si>
  <si>
    <t>Deepak Gupta</t>
  </si>
  <si>
    <t>E018</t>
  </si>
  <si>
    <t>Meena Verma</t>
  </si>
  <si>
    <t>E019</t>
  </si>
  <si>
    <t>Sahil Khan</t>
  </si>
  <si>
    <t>E020</t>
  </si>
  <si>
    <t>Aarti Sharma</t>
  </si>
  <si>
    <t>E021</t>
  </si>
  <si>
    <t>Varun Singh</t>
  </si>
  <si>
    <t>E022</t>
  </si>
  <si>
    <t>Isha Patel</t>
  </si>
  <si>
    <t>E023</t>
  </si>
  <si>
    <t>Ravi Kumar</t>
  </si>
  <si>
    <t>E024</t>
  </si>
  <si>
    <t>Nisha Yadav</t>
  </si>
  <si>
    <t>E025</t>
  </si>
  <si>
    <t>Manish Gupta</t>
  </si>
  <si>
    <t>E026</t>
  </si>
  <si>
    <t>Shweta Singh</t>
  </si>
  <si>
    <t>E027</t>
  </si>
  <si>
    <t>Abhishek Verma</t>
  </si>
  <si>
    <t>E028</t>
  </si>
  <si>
    <t>Komal Sharma</t>
  </si>
  <si>
    <t>E029</t>
  </si>
  <si>
    <t>Tarun Kumar</t>
  </si>
  <si>
    <t>E030</t>
  </si>
  <si>
    <t>Ritu Gupta</t>
  </si>
  <si>
    <t>Practice Questions</t>
  </si>
  <si>
    <t>1. Total employees kitne hain? (COUNT)</t>
  </si>
  <si>
    <t>2. Total names kitne hain? (COUNTA)</t>
  </si>
  <si>
    <t>3. IT department mein kitne employees hain? (COUNTIF)</t>
  </si>
  <si>
    <t>4. Female employees kitni hain? (COUNTIF)</t>
  </si>
  <si>
    <t>5. Active employees kitne hain? (COUNTIF)</t>
  </si>
  <si>
    <t>6. IT department ki total salary kitni hai? (SUMIF)</t>
  </si>
  <si>
    <t>7. HR department ki total salary kitni hai? (SUMIF)</t>
  </si>
  <si>
    <t>8. Delhi ke employees ki total salary kitni hai? (SUMIF)</t>
  </si>
  <si>
    <t>9. Sabhi employees ki total salary kitni hai? (SUM)</t>
  </si>
  <si>
    <t>10. Average salary kitni hai? (AVERAGE)</t>
  </si>
  <si>
    <t>11. Highest salary kya hai? (MAX)</t>
  </si>
  <si>
    <t>12. Lowest salary kya hai? (MIN)</t>
  </si>
  <si>
    <t>13. Salary 50,000 se zyada wale employees kitne hain? (COUNTIF)</t>
  </si>
  <si>
    <t>14. Experience 4 years ya usse zyada wale employees kitne hain? (COUNTIF)</t>
  </si>
  <si>
    <t>15. Sales department ki average salary nikalo. (AVERAGEIF)</t>
  </si>
  <si>
    <t>16. Finance department mein highest salary nikalo. (MAXIFS)</t>
  </si>
  <si>
    <t>17. Delhi mein active employees kitne hain? (COUNTIFS)</t>
  </si>
  <si>
    <t>18. IT department mein active employees kitne hain? (COUNTIFS)</t>
  </si>
  <si>
    <t>19. Female employees ki total salary nikalo. (SUMIF)</t>
  </si>
  <si>
    <t>20. Salary &gt;= 45,000 ho to High, warna Low likho. (IF)</t>
  </si>
  <si>
    <t>COUNT</t>
  </si>
  <si>
    <t>COUNTA</t>
  </si>
  <si>
    <t>COUNTIF</t>
  </si>
  <si>
    <t>SUMIF</t>
  </si>
  <si>
    <t>Avg Salary</t>
  </si>
  <si>
    <t>Max Salary</t>
  </si>
  <si>
    <t>Min Salary</t>
  </si>
  <si>
    <t>Salary&gt;50K</t>
  </si>
  <si>
    <t>Experience&lt;=3</t>
  </si>
  <si>
    <t>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</si>
</sst>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3" fontId="0" fillId="0" borderId="0" xfId="0" applyNumberFormat="1"/>
    <xf numFmtId="1" fontId="0" fillId="0" borderId="0" xfId="0" applyNumberFormat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"/>
  <sheetViews>
    <sheetView tabSelected="1" workbookViewId="0">
      <pane ySplit="1" topLeftCell="A2" activePane="bottomLeft" state="frozen"/>
      <selection pane="bottomLeft" activeCell="M18" sqref="M18"/>
    </sheetView>
  </sheetViews>
  <sheetFormatPr defaultRowHeight="14.4" x14ac:dyDescent="0.3"/>
  <cols>
    <col min="1" max="1" width="14" customWidth="1"/>
    <col min="2" max="2" width="17" customWidth="1"/>
    <col min="3" max="3" width="13" customWidth="1"/>
    <col min="4" max="4" width="9" customWidth="1"/>
    <col min="5" max="5" width="12" customWidth="1"/>
    <col min="6" max="6" width="9" customWidth="1"/>
    <col min="7" max="7" width="21" customWidth="1"/>
    <col min="8" max="8" width="11" customWidth="1"/>
    <col min="21" max="21" width="12.109375" customWidth="1"/>
    <col min="22" max="22" width="11.554687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103</v>
      </c>
      <c r="J1" s="4" t="s">
        <v>104</v>
      </c>
      <c r="K1" s="4" t="s">
        <v>105</v>
      </c>
      <c r="L1" s="4" t="s">
        <v>105</v>
      </c>
      <c r="M1" s="4" t="s">
        <v>105</v>
      </c>
      <c r="N1" s="4" t="s">
        <v>106</v>
      </c>
      <c r="O1" s="4" t="s">
        <v>106</v>
      </c>
      <c r="P1" s="4" t="s">
        <v>106</v>
      </c>
      <c r="Q1" s="4" t="s">
        <v>107</v>
      </c>
      <c r="R1" s="4" t="s">
        <v>108</v>
      </c>
      <c r="S1" s="4" t="s">
        <v>109</v>
      </c>
      <c r="T1" s="4" t="s">
        <v>110</v>
      </c>
      <c r="U1" s="4" t="s">
        <v>111</v>
      </c>
      <c r="V1" s="4" t="s">
        <v>112</v>
      </c>
    </row>
    <row r="2" spans="1:22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>
        <v>45000</v>
      </c>
      <c r="G2" s="3">
        <v>2</v>
      </c>
      <c r="H2" t="s">
        <v>13</v>
      </c>
      <c r="I2">
        <f>COUNTA(A2:A31)</f>
        <v>30</v>
      </c>
      <c r="J2">
        <f>COUNTA(B2:B31)</f>
        <v>30</v>
      </c>
      <c r="K2">
        <f>COUNTIF(C2:C31,"IT")</f>
        <v>8</v>
      </c>
      <c r="L2">
        <f>COUNTIF(D2:D31,"Female")</f>
        <v>15</v>
      </c>
      <c r="M2">
        <f>COUNTIF(H2:H31,"Active")</f>
        <v>24</v>
      </c>
      <c r="N2">
        <f>SUMIF(C2:C31,"IT",F2:F31)</f>
        <v>387000</v>
      </c>
      <c r="O2">
        <f>SUMIF(C2:C31,"HR",F2:F31)</f>
        <v>316000</v>
      </c>
      <c r="P2">
        <f>SUMIF(E2:E31,"delhi",F2:F31)</f>
        <v>408000</v>
      </c>
      <c r="Q2" s="2">
        <f>AVERAGE(F2:F31)</f>
        <v>45800</v>
      </c>
      <c r="R2" s="2">
        <f>MAX(F2:F31)</f>
        <v>62000</v>
      </c>
      <c r="S2" s="2">
        <f>MIN(F2:F31)</f>
        <v>32000</v>
      </c>
      <c r="T2">
        <f>COUNTIF(F2:F31,"&gt;=50000")</f>
        <v>10</v>
      </c>
      <c r="U2">
        <f>COUNTIF(G2:G31,"&gt;=3")</f>
        <v>22</v>
      </c>
      <c r="V2" t="str" cm="1">
        <f t="array" ref="V2:V31">IF(F2:F31&gt;40000,"High Salary","Low Salary")</f>
        <v>High Salary</v>
      </c>
    </row>
    <row r="3" spans="1:22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2">
        <v>38000</v>
      </c>
      <c r="G3" s="3">
        <v>3</v>
      </c>
      <c r="H3" t="s">
        <v>13</v>
      </c>
      <c r="V3" t="str">
        <v>Low Salary</v>
      </c>
    </row>
    <row r="4" spans="1:22" x14ac:dyDescent="0.3">
      <c r="A4" t="s">
        <v>19</v>
      </c>
      <c r="B4" t="s">
        <v>20</v>
      </c>
      <c r="C4" t="s">
        <v>21</v>
      </c>
      <c r="D4" t="s">
        <v>11</v>
      </c>
      <c r="E4" t="s">
        <v>22</v>
      </c>
      <c r="F4" s="2">
        <v>32000</v>
      </c>
      <c r="G4" s="3">
        <v>1</v>
      </c>
      <c r="H4" t="s">
        <v>23</v>
      </c>
      <c r="V4" t="str">
        <v>Low Salary</v>
      </c>
    </row>
    <row r="5" spans="1:22" x14ac:dyDescent="0.3">
      <c r="A5" t="s">
        <v>24</v>
      </c>
      <c r="B5" t="s">
        <v>25</v>
      </c>
      <c r="C5" t="s">
        <v>26</v>
      </c>
      <c r="D5" t="s">
        <v>17</v>
      </c>
      <c r="E5" t="s">
        <v>12</v>
      </c>
      <c r="F5" s="2">
        <v>52000</v>
      </c>
      <c r="G5" s="3">
        <v>5</v>
      </c>
      <c r="H5" t="s">
        <v>13</v>
      </c>
      <c r="V5" t="str">
        <v>High Salary</v>
      </c>
    </row>
    <row r="6" spans="1:22" x14ac:dyDescent="0.3">
      <c r="A6" t="s">
        <v>27</v>
      </c>
      <c r="B6" t="s">
        <v>28</v>
      </c>
      <c r="C6" t="s">
        <v>10</v>
      </c>
      <c r="D6" t="s">
        <v>11</v>
      </c>
      <c r="E6" t="s">
        <v>29</v>
      </c>
      <c r="F6" s="2">
        <v>47000</v>
      </c>
      <c r="G6" s="3">
        <v>4</v>
      </c>
      <c r="H6" t="s">
        <v>13</v>
      </c>
      <c r="V6" t="str">
        <v>High Salary</v>
      </c>
    </row>
    <row r="7" spans="1:22" x14ac:dyDescent="0.3">
      <c r="A7" t="s">
        <v>30</v>
      </c>
      <c r="B7" t="s">
        <v>31</v>
      </c>
      <c r="C7" t="s">
        <v>16</v>
      </c>
      <c r="D7" t="s">
        <v>17</v>
      </c>
      <c r="E7" t="s">
        <v>32</v>
      </c>
      <c r="F7" s="2">
        <v>36000</v>
      </c>
      <c r="G7" s="3">
        <v>2</v>
      </c>
      <c r="H7" t="s">
        <v>13</v>
      </c>
      <c r="V7" t="str">
        <v>Low Salary</v>
      </c>
    </row>
    <row r="8" spans="1:22" x14ac:dyDescent="0.3">
      <c r="A8" t="s">
        <v>33</v>
      </c>
      <c r="B8" t="s">
        <v>34</v>
      </c>
      <c r="C8" t="s">
        <v>21</v>
      </c>
      <c r="D8" t="s">
        <v>11</v>
      </c>
      <c r="E8" t="s">
        <v>35</v>
      </c>
      <c r="F8" s="2">
        <v>41000</v>
      </c>
      <c r="G8" s="3">
        <v>3</v>
      </c>
      <c r="H8" t="s">
        <v>13</v>
      </c>
      <c r="V8" t="str">
        <v>High Salary</v>
      </c>
    </row>
    <row r="9" spans="1:22" x14ac:dyDescent="0.3">
      <c r="A9" t="s">
        <v>36</v>
      </c>
      <c r="B9" t="s">
        <v>37</v>
      </c>
      <c r="C9" t="s">
        <v>26</v>
      </c>
      <c r="D9" t="s">
        <v>17</v>
      </c>
      <c r="E9" t="s">
        <v>18</v>
      </c>
      <c r="F9" s="2">
        <v>55000</v>
      </c>
      <c r="G9" s="3">
        <v>6</v>
      </c>
      <c r="H9" t="s">
        <v>13</v>
      </c>
      <c r="V9" t="str">
        <v>High Salary</v>
      </c>
    </row>
    <row r="10" spans="1:22" x14ac:dyDescent="0.3">
      <c r="A10" t="s">
        <v>38</v>
      </c>
      <c r="B10" t="s">
        <v>39</v>
      </c>
      <c r="C10" t="s">
        <v>10</v>
      </c>
      <c r="D10" t="s">
        <v>11</v>
      </c>
      <c r="E10" t="s">
        <v>22</v>
      </c>
      <c r="F10" s="2">
        <v>49000</v>
      </c>
      <c r="G10" s="3">
        <v>4</v>
      </c>
      <c r="H10" t="s">
        <v>23</v>
      </c>
      <c r="V10" t="str">
        <v>High Salary</v>
      </c>
    </row>
    <row r="11" spans="1:22" x14ac:dyDescent="0.3">
      <c r="A11" t="s">
        <v>40</v>
      </c>
      <c r="B11" t="s">
        <v>41</v>
      </c>
      <c r="C11" t="s">
        <v>16</v>
      </c>
      <c r="D11" t="s">
        <v>17</v>
      </c>
      <c r="E11" t="s">
        <v>12</v>
      </c>
      <c r="F11" s="2">
        <v>42000</v>
      </c>
      <c r="G11" s="3">
        <v>3</v>
      </c>
      <c r="H11" t="s">
        <v>13</v>
      </c>
      <c r="V11" t="str">
        <v>High Salary</v>
      </c>
    </row>
    <row r="12" spans="1:22" x14ac:dyDescent="0.3">
      <c r="A12" t="s">
        <v>42</v>
      </c>
      <c r="B12" t="s">
        <v>43</v>
      </c>
      <c r="C12" t="s">
        <v>21</v>
      </c>
      <c r="D12" t="s">
        <v>11</v>
      </c>
      <c r="E12" t="s">
        <v>29</v>
      </c>
      <c r="F12" s="2">
        <v>35000</v>
      </c>
      <c r="G12" s="3">
        <v>2</v>
      </c>
      <c r="H12" t="s">
        <v>13</v>
      </c>
      <c r="V12" t="str">
        <v>Low Salary</v>
      </c>
    </row>
    <row r="13" spans="1:22" x14ac:dyDescent="0.3">
      <c r="A13" t="s">
        <v>44</v>
      </c>
      <c r="B13" t="s">
        <v>45</v>
      </c>
      <c r="C13" t="s">
        <v>26</v>
      </c>
      <c r="D13" t="s">
        <v>17</v>
      </c>
      <c r="E13" t="s">
        <v>35</v>
      </c>
      <c r="F13" s="2">
        <v>58000</v>
      </c>
      <c r="G13" s="3">
        <v>7</v>
      </c>
      <c r="H13" t="s">
        <v>13</v>
      </c>
      <c r="V13" t="str">
        <v>High Salary</v>
      </c>
    </row>
    <row r="14" spans="1:22" x14ac:dyDescent="0.3">
      <c r="A14" t="s">
        <v>46</v>
      </c>
      <c r="B14" t="s">
        <v>47</v>
      </c>
      <c r="C14" t="s">
        <v>10</v>
      </c>
      <c r="D14" t="s">
        <v>11</v>
      </c>
      <c r="E14" t="s">
        <v>12</v>
      </c>
      <c r="F14" s="2">
        <v>51000</v>
      </c>
      <c r="G14" s="3">
        <v>5</v>
      </c>
      <c r="H14" t="s">
        <v>13</v>
      </c>
      <c r="V14" t="str">
        <v>High Salary</v>
      </c>
    </row>
    <row r="15" spans="1:22" x14ac:dyDescent="0.3">
      <c r="A15" t="s">
        <v>48</v>
      </c>
      <c r="B15" t="s">
        <v>49</v>
      </c>
      <c r="C15" t="s">
        <v>16</v>
      </c>
      <c r="D15" t="s">
        <v>17</v>
      </c>
      <c r="E15" t="s">
        <v>22</v>
      </c>
      <c r="F15" s="2">
        <v>39000</v>
      </c>
      <c r="G15" s="3">
        <v>2</v>
      </c>
      <c r="H15" t="s">
        <v>23</v>
      </c>
      <c r="V15" t="str">
        <v>Low Salary</v>
      </c>
    </row>
    <row r="16" spans="1:22" x14ac:dyDescent="0.3">
      <c r="A16" t="s">
        <v>50</v>
      </c>
      <c r="B16" t="s">
        <v>51</v>
      </c>
      <c r="C16" t="s">
        <v>21</v>
      </c>
      <c r="D16" t="s">
        <v>11</v>
      </c>
      <c r="E16" t="s">
        <v>18</v>
      </c>
      <c r="F16" s="2">
        <v>37000</v>
      </c>
      <c r="G16" s="3">
        <v>3</v>
      </c>
      <c r="H16" t="s">
        <v>13</v>
      </c>
      <c r="V16" t="str">
        <v>Low Salary</v>
      </c>
    </row>
    <row r="17" spans="1:22" x14ac:dyDescent="0.3">
      <c r="A17" t="s">
        <v>52</v>
      </c>
      <c r="B17" t="s">
        <v>53</v>
      </c>
      <c r="C17" t="s">
        <v>26</v>
      </c>
      <c r="D17" t="s">
        <v>17</v>
      </c>
      <c r="E17" t="s">
        <v>12</v>
      </c>
      <c r="F17" s="2">
        <v>62000</v>
      </c>
      <c r="G17" s="3">
        <v>8</v>
      </c>
      <c r="H17" t="s">
        <v>13</v>
      </c>
      <c r="V17" t="str">
        <v>High Salary</v>
      </c>
    </row>
    <row r="18" spans="1:22" x14ac:dyDescent="0.3">
      <c r="A18" t="s">
        <v>54</v>
      </c>
      <c r="B18" t="s">
        <v>55</v>
      </c>
      <c r="C18" t="s">
        <v>10</v>
      </c>
      <c r="D18" t="s">
        <v>11</v>
      </c>
      <c r="E18" t="s">
        <v>35</v>
      </c>
      <c r="F18" s="2">
        <v>44000</v>
      </c>
      <c r="G18" s="3">
        <v>2</v>
      </c>
      <c r="H18" t="s">
        <v>13</v>
      </c>
      <c r="V18" t="str">
        <v>High Salary</v>
      </c>
    </row>
    <row r="19" spans="1:22" x14ac:dyDescent="0.3">
      <c r="A19" t="s">
        <v>56</v>
      </c>
      <c r="B19" t="s">
        <v>57</v>
      </c>
      <c r="C19" t="s">
        <v>16</v>
      </c>
      <c r="D19" t="s">
        <v>17</v>
      </c>
      <c r="E19" t="s">
        <v>29</v>
      </c>
      <c r="F19" s="2">
        <v>40000</v>
      </c>
      <c r="G19" s="3">
        <v>4</v>
      </c>
      <c r="H19" t="s">
        <v>13</v>
      </c>
      <c r="V19" t="str">
        <v>Low Salary</v>
      </c>
    </row>
    <row r="20" spans="1:22" x14ac:dyDescent="0.3">
      <c r="A20" t="s">
        <v>58</v>
      </c>
      <c r="B20" t="s">
        <v>59</v>
      </c>
      <c r="C20" t="s">
        <v>21</v>
      </c>
      <c r="D20" t="s">
        <v>11</v>
      </c>
      <c r="E20" t="s">
        <v>12</v>
      </c>
      <c r="F20" s="2">
        <v>46000</v>
      </c>
      <c r="G20" s="3">
        <v>5</v>
      </c>
      <c r="H20" t="s">
        <v>23</v>
      </c>
      <c r="V20" t="str">
        <v>High Salary</v>
      </c>
    </row>
    <row r="21" spans="1:22" x14ac:dyDescent="0.3">
      <c r="A21" t="s">
        <v>60</v>
      </c>
      <c r="B21" t="s">
        <v>61</v>
      </c>
      <c r="C21" t="s">
        <v>26</v>
      </c>
      <c r="D21" t="s">
        <v>17</v>
      </c>
      <c r="E21" t="s">
        <v>22</v>
      </c>
      <c r="F21" s="2">
        <v>57000</v>
      </c>
      <c r="G21" s="3">
        <v>6</v>
      </c>
      <c r="H21" t="s">
        <v>13</v>
      </c>
      <c r="V21" t="str">
        <v>High Salary</v>
      </c>
    </row>
    <row r="22" spans="1:22" x14ac:dyDescent="0.3">
      <c r="A22" t="s">
        <v>62</v>
      </c>
      <c r="B22" t="s">
        <v>63</v>
      </c>
      <c r="C22" t="s">
        <v>10</v>
      </c>
      <c r="D22" t="s">
        <v>11</v>
      </c>
      <c r="E22" t="s">
        <v>18</v>
      </c>
      <c r="F22" s="2">
        <v>48000</v>
      </c>
      <c r="G22" s="3">
        <v>3</v>
      </c>
      <c r="H22" t="s">
        <v>13</v>
      </c>
      <c r="V22" t="str">
        <v>High Salary</v>
      </c>
    </row>
    <row r="23" spans="1:22" x14ac:dyDescent="0.3">
      <c r="A23" t="s">
        <v>64</v>
      </c>
      <c r="B23" t="s">
        <v>65</v>
      </c>
      <c r="C23" t="s">
        <v>16</v>
      </c>
      <c r="D23" t="s">
        <v>17</v>
      </c>
      <c r="E23" t="s">
        <v>35</v>
      </c>
      <c r="F23" s="2">
        <v>37000</v>
      </c>
      <c r="G23" s="3">
        <v>2</v>
      </c>
      <c r="H23" t="s">
        <v>13</v>
      </c>
      <c r="V23" t="str">
        <v>Low Salary</v>
      </c>
    </row>
    <row r="24" spans="1:22" x14ac:dyDescent="0.3">
      <c r="A24" t="s">
        <v>66</v>
      </c>
      <c r="B24" t="s">
        <v>67</v>
      </c>
      <c r="C24" t="s">
        <v>21</v>
      </c>
      <c r="D24" t="s">
        <v>11</v>
      </c>
      <c r="E24" t="s">
        <v>29</v>
      </c>
      <c r="F24" s="2">
        <v>43000</v>
      </c>
      <c r="G24" s="3">
        <v>4</v>
      </c>
      <c r="H24" t="s">
        <v>13</v>
      </c>
      <c r="V24" t="str">
        <v>High Salary</v>
      </c>
    </row>
    <row r="25" spans="1:22" x14ac:dyDescent="0.3">
      <c r="A25" t="s">
        <v>68</v>
      </c>
      <c r="B25" t="s">
        <v>69</v>
      </c>
      <c r="C25" t="s">
        <v>26</v>
      </c>
      <c r="D25" t="s">
        <v>17</v>
      </c>
      <c r="E25" t="s">
        <v>12</v>
      </c>
      <c r="F25" s="2">
        <v>60000</v>
      </c>
      <c r="G25" s="3">
        <v>7</v>
      </c>
      <c r="H25" t="s">
        <v>23</v>
      </c>
      <c r="V25" t="str">
        <v>High Salary</v>
      </c>
    </row>
    <row r="26" spans="1:22" x14ac:dyDescent="0.3">
      <c r="A26" t="s">
        <v>70</v>
      </c>
      <c r="B26" t="s">
        <v>71</v>
      </c>
      <c r="C26" t="s">
        <v>10</v>
      </c>
      <c r="D26" t="s">
        <v>11</v>
      </c>
      <c r="E26" t="s">
        <v>22</v>
      </c>
      <c r="F26" s="2">
        <v>53000</v>
      </c>
      <c r="G26" s="3">
        <v>6</v>
      </c>
      <c r="H26" t="s">
        <v>13</v>
      </c>
      <c r="V26" t="str">
        <v>High Salary</v>
      </c>
    </row>
    <row r="27" spans="1:22" x14ac:dyDescent="0.3">
      <c r="A27" t="s">
        <v>72</v>
      </c>
      <c r="B27" t="s">
        <v>73</v>
      </c>
      <c r="C27" t="s">
        <v>16</v>
      </c>
      <c r="D27" t="s">
        <v>17</v>
      </c>
      <c r="E27" t="s">
        <v>18</v>
      </c>
      <c r="F27" s="2">
        <v>41000</v>
      </c>
      <c r="G27" s="3">
        <v>3</v>
      </c>
      <c r="H27" t="s">
        <v>13</v>
      </c>
      <c r="V27" t="str">
        <v>High Salary</v>
      </c>
    </row>
    <row r="28" spans="1:22" x14ac:dyDescent="0.3">
      <c r="A28" t="s">
        <v>74</v>
      </c>
      <c r="B28" t="s">
        <v>75</v>
      </c>
      <c r="C28" t="s">
        <v>21</v>
      </c>
      <c r="D28" t="s">
        <v>11</v>
      </c>
      <c r="E28" t="s">
        <v>35</v>
      </c>
      <c r="F28" s="2">
        <v>39000</v>
      </c>
      <c r="G28" s="3">
        <v>2</v>
      </c>
      <c r="H28" t="s">
        <v>13</v>
      </c>
      <c r="V28" t="str">
        <v>Low Salary</v>
      </c>
    </row>
    <row r="29" spans="1:22" x14ac:dyDescent="0.3">
      <c r="A29" t="s">
        <v>76</v>
      </c>
      <c r="B29" t="s">
        <v>77</v>
      </c>
      <c r="C29" t="s">
        <v>26</v>
      </c>
      <c r="D29" t="s">
        <v>17</v>
      </c>
      <c r="E29" t="s">
        <v>29</v>
      </c>
      <c r="F29" s="2">
        <v>54000</v>
      </c>
      <c r="G29" s="3">
        <v>5</v>
      </c>
      <c r="H29" t="s">
        <v>13</v>
      </c>
      <c r="V29" t="str">
        <v>High Salary</v>
      </c>
    </row>
    <row r="30" spans="1:22" x14ac:dyDescent="0.3">
      <c r="A30" t="s">
        <v>78</v>
      </c>
      <c r="B30" t="s">
        <v>79</v>
      </c>
      <c r="C30" t="s">
        <v>10</v>
      </c>
      <c r="D30" t="s">
        <v>11</v>
      </c>
      <c r="E30" t="s">
        <v>12</v>
      </c>
      <c r="F30" s="2">
        <v>50000</v>
      </c>
      <c r="G30" s="3">
        <v>4</v>
      </c>
      <c r="H30" t="s">
        <v>23</v>
      </c>
      <c r="V30" t="str">
        <v>High Salary</v>
      </c>
    </row>
    <row r="31" spans="1:22" x14ac:dyDescent="0.3">
      <c r="A31" t="s">
        <v>80</v>
      </c>
      <c r="B31" t="s">
        <v>81</v>
      </c>
      <c r="C31" t="s">
        <v>16</v>
      </c>
      <c r="D31" t="s">
        <v>17</v>
      </c>
      <c r="E31" t="s">
        <v>22</v>
      </c>
      <c r="F31" s="2">
        <v>43000</v>
      </c>
      <c r="G31" s="3">
        <v>5</v>
      </c>
      <c r="H31" t="s">
        <v>13</v>
      </c>
      <c r="V31" t="str">
        <v>High Salary</v>
      </c>
    </row>
  </sheetData>
  <autoFilter ref="A1:H3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5" customWidth="1"/>
  </cols>
  <sheetData>
    <row r="1" spans="1:1" x14ac:dyDescent="0.3">
      <c r="A1" s="1" t="s">
        <v>82</v>
      </c>
    </row>
    <row r="2" spans="1:1" x14ac:dyDescent="0.3">
      <c r="A2" t="s">
        <v>83</v>
      </c>
    </row>
    <row r="3" spans="1:1" x14ac:dyDescent="0.3">
      <c r="A3" t="s">
        <v>84</v>
      </c>
    </row>
    <row r="4" spans="1:1" x14ac:dyDescent="0.3">
      <c r="A4" t="s">
        <v>85</v>
      </c>
    </row>
    <row r="5" spans="1:1" x14ac:dyDescent="0.3">
      <c r="A5" t="s">
        <v>86</v>
      </c>
    </row>
    <row r="6" spans="1:1" x14ac:dyDescent="0.3">
      <c r="A6" t="s">
        <v>87</v>
      </c>
    </row>
    <row r="7" spans="1:1" x14ac:dyDescent="0.3">
      <c r="A7" t="s">
        <v>88</v>
      </c>
    </row>
    <row r="8" spans="1:1" x14ac:dyDescent="0.3">
      <c r="A8" t="s">
        <v>89</v>
      </c>
    </row>
    <row r="9" spans="1:1" x14ac:dyDescent="0.3">
      <c r="A9" t="s">
        <v>90</v>
      </c>
    </row>
    <row r="10" spans="1:1" x14ac:dyDescent="0.3">
      <c r="A10" t="s">
        <v>91</v>
      </c>
    </row>
    <row r="11" spans="1:1" x14ac:dyDescent="0.3">
      <c r="A11" t="s">
        <v>92</v>
      </c>
    </row>
    <row r="12" spans="1:1" x14ac:dyDescent="0.3">
      <c r="A12" t="s">
        <v>93</v>
      </c>
    </row>
    <row r="13" spans="1:1" x14ac:dyDescent="0.3">
      <c r="A13" t="s">
        <v>94</v>
      </c>
    </row>
    <row r="14" spans="1:1" x14ac:dyDescent="0.3">
      <c r="A14" t="s">
        <v>95</v>
      </c>
    </row>
    <row r="15" spans="1:1" x14ac:dyDescent="0.3">
      <c r="A15" t="s">
        <v>96</v>
      </c>
    </row>
    <row r="16" spans="1:1" x14ac:dyDescent="0.3">
      <c r="A16" t="s">
        <v>97</v>
      </c>
    </row>
    <row r="17" spans="1:1" x14ac:dyDescent="0.3">
      <c r="A17" t="s">
        <v>98</v>
      </c>
    </row>
    <row r="18" spans="1:1" x14ac:dyDescent="0.3">
      <c r="A18" t="s">
        <v>99</v>
      </c>
    </row>
    <row r="19" spans="1:1" x14ac:dyDescent="0.3">
      <c r="A19" t="s">
        <v>100</v>
      </c>
    </row>
    <row r="20" spans="1:1" x14ac:dyDescent="0.3">
      <c r="A20" t="s">
        <v>101</v>
      </c>
    </row>
    <row r="21" spans="1:1" x14ac:dyDescent="0.3">
      <c r="A21" t="s">
        <v>102</v>
      </c>
    </row>
  </sheetData>
  <autoFilter ref="A1:A2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Data</vt:lpstr>
      <vt:lpstr>Practice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kunal saxena</cp:lastModifiedBy>
  <dcterms:created xsi:type="dcterms:W3CDTF">2026-09-30T12:37:45Z</dcterms:created>
  <dcterms:modified xsi:type="dcterms:W3CDTF">2026-09-30T13:00:12Z</dcterms:modified>
</cp:coreProperties>
</file>